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;($#,##0);&quot;-&quot;"/>
    <numFmt numFmtId="165" formatCode="0.0%"/>
  </numFmts>
  <fonts count="7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i val="1"/>
      <color rgb="00555555"/>
      <sz val="10"/>
    </font>
    <font>
      <name val="Arial"/>
      <b val="1"/>
      <color rgb="00FFFFFF"/>
      <sz val="12"/>
    </font>
    <font>
      <name val="Arial"/>
      <b val="1"/>
      <sz val="10"/>
    </font>
    <font>
      <name val="Arial"/>
      <sz val="10"/>
    </font>
    <font>
      <name val="Arial"/>
      <i val="1"/>
      <color rgb="00666666"/>
      <sz val="9"/>
    </font>
  </fonts>
  <fills count="5">
    <fill>
      <patternFill/>
    </fill>
    <fill>
      <patternFill patternType="gray125"/>
    </fill>
    <fill>
      <patternFill patternType="solid">
        <fgColor rgb="002E5C8A"/>
      </patternFill>
    </fill>
    <fill>
      <patternFill patternType="solid">
        <fgColor rgb="00D9E2F3"/>
      </patternFill>
    </fill>
    <fill>
      <patternFill patternType="solid">
        <fgColor rgb="00FFFF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indent="1"/>
    </xf>
    <xf numFmtId="0" fontId="4" fillId="3" borderId="1" applyAlignment="1" pivotButton="0" quotePrefix="0" xfId="0">
      <alignment horizontal="left"/>
    </xf>
    <xf numFmtId="0" fontId="4" fillId="3" borderId="1" applyAlignment="1" pivotButton="0" quotePrefix="0" xfId="0">
      <alignment horizontal="center"/>
    </xf>
    <xf numFmtId="0" fontId="5" fillId="0" borderId="1" pivotButton="0" quotePrefix="0" xfId="0"/>
    <xf numFmtId="164" fontId="5" fillId="4" borderId="1" pivotButton="0" quotePrefix="0" xfId="0"/>
    <xf numFmtId="164" fontId="5" fillId="0" borderId="1" pivotButton="0" quotePrefix="0" xfId="0"/>
    <xf numFmtId="0" fontId="4" fillId="0" borderId="1" pivotButton="0" quotePrefix="0" xfId="0"/>
    <xf numFmtId="164" fontId="4" fillId="0" borderId="1" pivotButton="0" quotePrefix="0" xfId="0"/>
    <xf numFmtId="0" fontId="0" fillId="0" borderId="1" pivotButton="0" quotePrefix="0" xfId="0"/>
    <xf numFmtId="0" fontId="6" fillId="0" borderId="0" pivotButton="0" quotePrefix="0" xfId="0"/>
    <xf numFmtId="165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  <col width="34" customWidth="1" min="5" max="5"/>
  </cols>
  <sheetData>
    <row r="1">
      <c r="A1" s="1" t="inlineStr">
        <is>
          <t>Current Monthly Budget — Kate &amp; Lucas</t>
        </is>
      </c>
    </row>
    <row r="2">
      <c r="A2" s="2" t="inlineStr">
        <is>
          <t>Fill in the yellow cells together. Everything else calculates automatically. Monthly $, after-tax/take-home.</t>
        </is>
      </c>
    </row>
    <row r="4" ht="20" customHeight="1">
      <c r="A4" s="3" t="inlineStr">
        <is>
          <t>1. Income (take-home / after-tax, monthly)</t>
        </is>
      </c>
    </row>
    <row r="5">
      <c r="A5" s="4" t="inlineStr">
        <is>
          <t>Source</t>
        </is>
      </c>
      <c r="B5" s="5" t="inlineStr">
        <is>
          <t>Kate</t>
        </is>
      </c>
      <c r="C5" s="5" t="inlineStr">
        <is>
          <t>Lucas</t>
        </is>
      </c>
      <c r="D5" s="5" t="inlineStr">
        <is>
          <t>Total</t>
        </is>
      </c>
    </row>
    <row r="6">
      <c r="A6" s="6" t="inlineStr">
        <is>
          <t>Primary job (net pay)</t>
        </is>
      </c>
      <c r="B6" s="7" t="n"/>
      <c r="C6" s="7" t="n"/>
      <c r="D6" s="8">
        <f>B6+C6</f>
        <v/>
      </c>
    </row>
    <row r="7">
      <c r="A7" s="6" t="inlineStr">
        <is>
          <t>Other income (bonus avg/mo, freelance, etc.)</t>
        </is>
      </c>
      <c r="B7" s="7" t="n"/>
      <c r="C7" s="7" t="n"/>
      <c r="D7" s="8">
        <f>B7+C7</f>
        <v/>
      </c>
    </row>
    <row r="8">
      <c r="A8" s="9" t="inlineStr">
        <is>
          <t>Total monthly income</t>
        </is>
      </c>
      <c r="B8" s="10">
        <f>SUM(B6:B7)</f>
        <v/>
      </c>
      <c r="C8" s="10">
        <f>SUM(C6:C7)</f>
        <v/>
      </c>
      <c r="D8" s="10">
        <f>SUM(D6:D7)</f>
        <v/>
      </c>
    </row>
    <row r="10" ht="20" customHeight="1">
      <c r="A10" s="3" t="inlineStr">
        <is>
          <t>2. Fixed Needs — target ~50% of income</t>
        </is>
      </c>
    </row>
    <row r="11">
      <c r="A11" s="4" t="inlineStr">
        <is>
          <t>Category</t>
        </is>
      </c>
      <c r="B11" s="5" t="inlineStr">
        <is>
          <t>Monthly Amount</t>
        </is>
      </c>
      <c r="C11" s="5" t="inlineStr">
        <is>
          <t>Notes</t>
        </is>
      </c>
    </row>
    <row r="12">
      <c r="A12" s="6" t="inlineStr">
        <is>
          <t>Rent / mortgage</t>
        </is>
      </c>
      <c r="B12" s="7" t="n"/>
      <c r="C12" s="11" t="n"/>
    </row>
    <row r="13">
      <c r="A13" s="6" t="inlineStr">
        <is>
          <t>Renters or homeowners insurance</t>
        </is>
      </c>
      <c r="B13" s="7" t="n"/>
      <c r="C13" s="11" t="n"/>
    </row>
    <row r="14">
      <c r="A14" s="6" t="inlineStr">
        <is>
          <t>Electricity / gas / water</t>
        </is>
      </c>
      <c r="B14" s="7" t="n"/>
      <c r="C14" s="11" t="n"/>
    </row>
    <row r="15">
      <c r="A15" s="6" t="inlineStr">
        <is>
          <t>Internet</t>
        </is>
      </c>
      <c r="B15" s="7" t="n"/>
      <c r="C15" s="11" t="n"/>
    </row>
    <row r="16">
      <c r="A16" s="6" t="inlineStr">
        <is>
          <t>Phone (both lines)</t>
        </is>
      </c>
      <c r="B16" s="7" t="n"/>
      <c r="C16" s="11" t="n"/>
    </row>
    <row r="17">
      <c r="A17" s="6" t="inlineStr">
        <is>
          <t>Health insurance (if not payroll-deducted)</t>
        </is>
      </c>
      <c r="B17" s="7" t="n"/>
      <c r="C17" s="11" t="n"/>
    </row>
    <row r="18">
      <c r="A18" s="6" t="inlineStr">
        <is>
          <t>Auto insurance</t>
        </is>
      </c>
      <c r="B18" s="7" t="n"/>
      <c r="C18" s="11" t="n"/>
    </row>
    <row r="19">
      <c r="A19" s="6" t="inlineStr">
        <is>
          <t>Car payment(s)</t>
        </is>
      </c>
      <c r="B19" s="7" t="n"/>
      <c r="C19" s="11" t="n"/>
    </row>
    <row r="20">
      <c r="A20" s="6" t="inlineStr">
        <is>
          <t>Gas / transit / rideshare (commuting)</t>
        </is>
      </c>
      <c r="B20" s="7" t="n"/>
      <c r="C20" s="11" t="n"/>
    </row>
    <row r="21">
      <c r="A21" s="6" t="inlineStr">
        <is>
          <t>Groceries</t>
        </is>
      </c>
      <c r="B21" s="7" t="n"/>
      <c r="C21" s="11" t="n"/>
    </row>
    <row r="22">
      <c r="A22" s="6" t="inlineStr">
        <is>
          <t>Minimum debt payments (student loans, credit cards, etc.)</t>
        </is>
      </c>
      <c r="B22" s="7" t="n"/>
      <c r="C22" s="11" t="n"/>
    </row>
    <row r="23">
      <c r="A23" s="6" t="inlineStr">
        <is>
          <t>Childcare / pet care (if applicable)</t>
        </is>
      </c>
      <c r="B23" s="7" t="n"/>
      <c r="C23" s="11" t="n"/>
    </row>
    <row r="24">
      <c r="A24" s="9" t="inlineStr">
        <is>
          <t>Subtotal — Needs</t>
        </is>
      </c>
      <c r="B24" s="10">
        <f>SUM(B12:B23)</f>
        <v/>
      </c>
    </row>
    <row r="26" ht="20" customHeight="1">
      <c r="A26" s="3" t="inlineStr">
        <is>
          <t>3. Savings &amp; Goals — zero-based, prioritize explicitly</t>
        </is>
      </c>
    </row>
    <row r="27">
      <c r="A27" s="4" t="inlineStr">
        <is>
          <t>Category</t>
        </is>
      </c>
      <c r="B27" s="5" t="inlineStr">
        <is>
          <t>Monthly Amount</t>
        </is>
      </c>
      <c r="C27" s="5" t="inlineStr">
        <is>
          <t>Notes</t>
        </is>
      </c>
    </row>
    <row r="28">
      <c r="A28" s="6" t="inlineStr">
        <is>
          <t>401(k) / retirement contributions (Kate)</t>
        </is>
      </c>
      <c r="B28" s="7" t="n"/>
      <c r="C28" s="11" t="n"/>
    </row>
    <row r="29">
      <c r="A29" s="6" t="inlineStr">
        <is>
          <t>401(k) / retirement contributions (Lucas)</t>
        </is>
      </c>
      <c r="B29" s="7" t="n"/>
      <c r="C29" s="11" t="n"/>
    </row>
    <row r="30">
      <c r="A30" s="6" t="inlineStr">
        <is>
          <t>Emergency fund</t>
        </is>
      </c>
      <c r="B30" s="7" t="n"/>
      <c r="C30" s="11" t="n"/>
    </row>
    <row r="31">
      <c r="A31" s="6" t="inlineStr">
        <is>
          <t>House down payment fund (Portland)</t>
        </is>
      </c>
      <c r="B31" s="7" t="n"/>
      <c r="C31" s="11" t="n"/>
    </row>
    <row r="32">
      <c r="A32" s="6" t="inlineStr">
        <is>
          <t>Wedding fund</t>
        </is>
      </c>
      <c r="B32" s="7" t="n"/>
      <c r="C32" s="11" t="n"/>
    </row>
    <row r="33">
      <c r="A33" s="6" t="inlineStr">
        <is>
          <t>Other investments</t>
        </is>
      </c>
      <c r="B33" s="7" t="n"/>
      <c r="C33" s="11" t="n"/>
    </row>
    <row r="34">
      <c r="A34" s="6" t="inlineStr">
        <is>
          <t>Extra debt paydown (beyond minimums)</t>
        </is>
      </c>
      <c r="B34" s="7" t="n"/>
      <c r="C34" s="11" t="n"/>
    </row>
    <row r="35">
      <c r="A35" s="9" t="inlineStr">
        <is>
          <t>Subtotal — Savings &amp; Goals</t>
        </is>
      </c>
      <c r="B35" s="10">
        <f>SUM(B28:B34)</f>
        <v/>
      </c>
    </row>
    <row r="37" ht="20" customHeight="1">
      <c r="A37" s="3" t="inlineStr">
        <is>
          <t>4. Wants / Discretionary (shared) — target ~30% of income</t>
        </is>
      </c>
    </row>
    <row r="38">
      <c r="A38" s="4" t="inlineStr">
        <is>
          <t>Category</t>
        </is>
      </c>
      <c r="B38" s="5" t="inlineStr">
        <is>
          <t>Monthly Amount</t>
        </is>
      </c>
      <c r="C38" s="5" t="inlineStr">
        <is>
          <t>Notes</t>
        </is>
      </c>
    </row>
    <row r="39">
      <c r="A39" s="6" t="inlineStr">
        <is>
          <t>Dining out / takeout</t>
        </is>
      </c>
      <c r="B39" s="7" t="n"/>
      <c r="C39" s="11" t="n"/>
    </row>
    <row r="40">
      <c r="A40" s="6" t="inlineStr">
        <is>
          <t>Entertainment &amp; experiences (movies, concerts, hobbies, outings)</t>
        </is>
      </c>
      <c r="B40" s="7" t="n"/>
      <c r="C40" s="11" t="n"/>
    </row>
    <row r="41">
      <c r="A41" s="6" t="inlineStr">
        <is>
          <t>Subscriptions (streaming, apps, memberships)</t>
        </is>
      </c>
      <c r="B41" s="7" t="n"/>
      <c r="C41" s="11" t="n"/>
    </row>
    <row r="42">
      <c r="A42" s="6" t="inlineStr">
        <is>
          <t>Travel / vacation (monthly average)</t>
        </is>
      </c>
      <c r="B42" s="7" t="n"/>
      <c r="C42" s="11" t="n"/>
    </row>
    <row r="43">
      <c r="A43" s="6" t="inlineStr">
        <is>
          <t>Gifts (holidays, birthdays, etc.)</t>
        </is>
      </c>
      <c r="B43" s="7" t="n"/>
      <c r="C43" s="11" t="n"/>
    </row>
    <row r="44">
      <c r="A44" s="6" t="inlineStr">
        <is>
          <t>Shopping (clothes, household goods)</t>
        </is>
      </c>
      <c r="B44" s="7" t="n"/>
      <c r="C44" s="11" t="n"/>
    </row>
    <row r="45">
      <c r="A45" s="6" t="inlineStr">
        <is>
          <t>Personal care (haircuts, gym, etc. — shared/household level)</t>
        </is>
      </c>
      <c r="B45" s="7" t="n"/>
      <c r="C45" s="11" t="n"/>
    </row>
    <row r="46">
      <c r="A46" s="9" t="inlineStr">
        <is>
          <t>Subtotal — Shared Wants</t>
        </is>
      </c>
      <c r="B46" s="10">
        <f>SUM(B39:B45)</f>
        <v/>
      </c>
    </row>
    <row r="48" ht="20" customHeight="1">
      <c r="A48" s="3" t="inlineStr">
        <is>
          <t>5. Individual "Fun Money" — no itemizing, no questions asked</t>
        </is>
      </c>
    </row>
    <row r="49">
      <c r="A49" s="4" t="inlineStr"/>
      <c r="B49" s="5" t="inlineStr">
        <is>
          <t>Kate</t>
        </is>
      </c>
      <c r="C49" s="5" t="inlineStr">
        <is>
          <t>Lucas</t>
        </is>
      </c>
    </row>
    <row r="50">
      <c r="A50" s="6" t="inlineStr">
        <is>
          <t>Monthly personal allowance</t>
        </is>
      </c>
      <c r="B50" s="7" t="n"/>
      <c r="C50" s="7" t="n"/>
    </row>
    <row r="51">
      <c r="A51" s="12" t="inlineStr">
        <is>
          <t>This is the one category each of you spends freely without justifying to the other.</t>
        </is>
      </c>
    </row>
    <row r="53" ht="20" customHeight="1">
      <c r="A53" s="3" t="inlineStr">
        <is>
          <t>6. Zero-Based Check</t>
        </is>
      </c>
    </row>
    <row r="54">
      <c r="A54" s="4" t="inlineStr"/>
      <c r="B54" s="5" t="inlineStr">
        <is>
          <t>Amount</t>
        </is>
      </c>
    </row>
    <row r="55">
      <c r="A55" s="6" t="inlineStr">
        <is>
          <t>Total combined income (Section 1)</t>
        </is>
      </c>
      <c r="B55" s="8">
        <f>D8</f>
        <v/>
      </c>
    </row>
    <row r="56">
      <c r="A56" s="6" t="inlineStr">
        <is>
          <t>minus Needs (Section 2 subtotal)</t>
        </is>
      </c>
      <c r="B56" s="8">
        <f>-B24</f>
        <v/>
      </c>
    </row>
    <row r="57">
      <c r="A57" s="6" t="inlineStr">
        <is>
          <t>minus Savings &amp; Goals (Section 3 subtotal)</t>
        </is>
      </c>
      <c r="B57" s="8">
        <f>-B35</f>
        <v/>
      </c>
    </row>
    <row r="58">
      <c r="A58" s="6" t="inlineStr">
        <is>
          <t>minus Shared Wants (Section 4 subtotal)</t>
        </is>
      </c>
      <c r="B58" s="8">
        <f>-B46</f>
        <v/>
      </c>
    </row>
    <row r="59">
      <c r="A59" s="6" t="inlineStr">
        <is>
          <t>minus Fun Money (Section 5, both people)</t>
        </is>
      </c>
      <c r="B59" s="8">
        <f>-(B50+C50)</f>
        <v/>
      </c>
    </row>
    <row r="60">
      <c r="A60" s="9" t="inlineStr">
        <is>
          <t>Unassigned (should be $0)</t>
        </is>
      </c>
      <c r="B60" s="10">
        <f>SUM(B55:B59)</f>
        <v/>
      </c>
    </row>
    <row r="61">
      <c r="A61" s="12" t="inlineStr">
        <is>
          <t>Negative = cut something (usually Section 4). Positive = assign the leftover, most likely to Section 3 (house/wedding funds).</t>
        </is>
      </c>
    </row>
    <row r="63" ht="20" customHeight="1">
      <c r="A63" s="3" t="inlineStr">
        <is>
          <t>7. Quick 50/30/20 Sanity Check (optional)</t>
        </is>
      </c>
    </row>
    <row r="64">
      <c r="A64" s="4" t="inlineStr">
        <is>
          <t>Bucket</t>
        </is>
      </c>
      <c r="B64" s="5" t="inlineStr">
        <is>
          <t>Target %</t>
        </is>
      </c>
      <c r="C64" s="5" t="inlineStr">
        <is>
          <t>Your %</t>
        </is>
      </c>
      <c r="D64" s="5" t="inlineStr">
        <is>
          <t>Your $</t>
        </is>
      </c>
    </row>
    <row r="65">
      <c r="A65" s="6" t="inlineStr">
        <is>
          <t>Needs (Section 2)</t>
        </is>
      </c>
      <c r="B65" s="13" t="n">
        <v>0.5</v>
      </c>
      <c r="C65" s="13">
        <f>IFERROR(D65/D8,0)</f>
        <v/>
      </c>
      <c r="D65" s="8">
        <f>B24</f>
        <v/>
      </c>
    </row>
    <row r="66">
      <c r="A66" s="6" t="inlineStr">
        <is>
          <t>Wants (Sections 4 + 5)</t>
        </is>
      </c>
      <c r="B66" s="13" t="n">
        <v>0.3</v>
      </c>
      <c r="C66" s="13">
        <f>IFERROR(D66/D8,0)</f>
        <v/>
      </c>
      <c r="D66" s="8">
        <f>B46+B50+C50</f>
        <v/>
      </c>
    </row>
    <row r="67">
      <c r="A67" s="6" t="inlineStr">
        <is>
          <t>Savings / Goals (Section 3)</t>
        </is>
      </c>
      <c r="B67" s="13" t="n">
        <v>0.2</v>
      </c>
      <c r="C67" s="13">
        <f>IFERROR(D67/D8,0)</f>
        <v/>
      </c>
      <c r="D67" s="8">
        <f>B35</f>
        <v/>
      </c>
    </row>
    <row r="69">
      <c r="A69" s="12" t="inlineStr">
        <is>
          <t>With house + wedding goals active, it's normal for Savings/Goals to run above 20% and Wants below 30%.</t>
        </is>
      </c>
    </row>
  </sheetData>
  <mergeCells count="12">
    <mergeCell ref="A1:D1"/>
    <mergeCell ref="A37:D37"/>
    <mergeCell ref="A61:D61"/>
    <mergeCell ref="A2:E2"/>
    <mergeCell ref="A53:D53"/>
    <mergeCell ref="A69:D69"/>
    <mergeCell ref="A4:D4"/>
    <mergeCell ref="A48:D48"/>
    <mergeCell ref="A26:D26"/>
    <mergeCell ref="A51:D51"/>
    <mergeCell ref="A10:D10"/>
    <mergeCell ref="A63:D6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2026-07-20T13:27:36Z</dcterms:created>
  <dcterms:modified xmlns:dcterms="http://purl.org/dc/terms/" xmlns:xsi="http://www.w3.org/2001/XMLSchema-instance" xsi:type="dcterms:W3CDTF">2026-07-20T13:27:36Z</dcterms:modified>
</cp:coreProperties>
</file>